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амаглал" sheetId="1" state="visible" r:id="rId1"/>
    <sheet name="12 сар (P&amp;L)" sheetId="2" state="visible" r:id="rId2"/>
    <sheet name="Сценар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3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70" customWidth="1" min="3" max="3"/>
  </cols>
  <sheetData>
    <row r="1">
      <c r="A1" s="1" t="inlineStr">
        <is>
          <t>Таамаглал (шар нүдийг өөрчил)</t>
        </is>
      </c>
      <c r="B1" s="1" t="inlineStr">
        <is>
          <t>Утга</t>
        </is>
      </c>
      <c r="C1" s="1" t="inlineStr">
        <is>
          <t>Тайлбар / эх сурвалж</t>
        </is>
      </c>
    </row>
    <row r="2">
      <c r="A2" t="inlineStr">
        <is>
          <t>Pro сарын үнэ (НӨАТ орсон), ₮</t>
        </is>
      </c>
      <c r="B2" s="2" t="n">
        <v>9900</v>
      </c>
      <c r="C2" t="inlineStr">
        <is>
          <t>plans хүснэгт</t>
        </is>
      </c>
    </row>
    <row r="3">
      <c r="A3" t="inlineStr">
        <is>
          <t>Pro жилийн үнэ, ₮</t>
        </is>
      </c>
      <c r="B3" s="2" t="n">
        <v>79000</v>
      </c>
      <c r="C3" t="inlineStr">
        <is>
          <t>plans</t>
        </is>
      </c>
    </row>
    <row r="4">
      <c r="A4" t="inlineStr">
        <is>
          <t>Pro — жилээр төлөгчийн хувь</t>
        </is>
      </c>
      <c r="B4" s="3" t="n">
        <v>0.5</v>
      </c>
      <c r="C4" t="inlineStr">
        <is>
          <t>зорилт ✱</t>
        </is>
      </c>
    </row>
    <row r="5">
      <c r="A5" t="inlineStr">
        <is>
          <t>Team суудал сарын үнэ, ₮</t>
        </is>
      </c>
      <c r="B5" s="2" t="n">
        <v>5000</v>
      </c>
      <c r="C5" t="inlineStr">
        <is>
          <t>plans</t>
        </is>
      </c>
    </row>
    <row r="6">
      <c r="A6" t="inlineStr">
        <is>
          <t>Team суудал жилийн үнэ, ₮</t>
        </is>
      </c>
      <c r="B6" s="2" t="n">
        <v>50000</v>
      </c>
      <c r="C6" t="inlineStr">
        <is>
          <t>plans</t>
        </is>
      </c>
    </row>
    <row r="7">
      <c r="A7" t="inlineStr">
        <is>
          <t>Team — жилээр төлөгчийн хувь</t>
        </is>
      </c>
      <c r="B7" s="3" t="n">
        <v>0.7</v>
      </c>
      <c r="C7" t="inlineStr">
        <is>
          <t>зорилт ✱</t>
        </is>
      </c>
    </row>
    <row r="8">
      <c r="A8" t="inlineStr">
        <is>
          <t>НӨАТ (үнэд багтсан)</t>
        </is>
      </c>
      <c r="B8" s="3" t="n">
        <v>0.1</v>
      </c>
      <c r="C8" t="inlineStr">
        <is>
          <t>НӨАТ-ын хууль; 50 сая₮-өөс дээш заавал, сайн дураар 10 сая₮-өөс</t>
        </is>
      </c>
    </row>
    <row r="9">
      <c r="A9" t="inlineStr">
        <is>
          <t>QPay шимтгэл (дотоод карт/банк)</t>
        </is>
      </c>
      <c r="B9" s="3" t="n">
        <v>0.01</v>
      </c>
      <c r="C9" t="inlineStr">
        <is>
          <t>TDB merchant нөхцөл ✱ — гэрээгээр батал</t>
        </is>
      </c>
    </row>
    <row r="10">
      <c r="A10" t="inlineStr">
        <is>
          <t>ААНОАТ (орлогын ≤300 сая₮ бол 1%)</t>
        </is>
      </c>
      <c r="B10" s="3" t="n">
        <v>0.01</v>
      </c>
      <c r="C10" t="inlineStr">
        <is>
          <t>Конcерватив: цэвэр орлогоос тооцов ✱</t>
        </is>
      </c>
    </row>
    <row r="11">
      <c r="A11" t="inlineStr">
        <is>
          <t>Хувьсах зардал / Pro хэрэглэгч / сар (AI, имэйл, storage), ₮</t>
        </is>
      </c>
      <c r="B11" s="2" t="n">
        <v>500</v>
      </c>
      <c r="C11" t="inlineStr">
        <is>
          <t>✱</t>
        </is>
      </c>
    </row>
    <row r="12">
      <c r="A12" t="inlineStr">
        <is>
          <t>Хувьсах зардал / Team суудал / сар, ₮</t>
        </is>
      </c>
      <c r="B12" s="2" t="n">
        <v>300</v>
      </c>
      <c r="C12" t="inlineStr">
        <is>
          <t>✱</t>
        </is>
      </c>
    </row>
    <row r="13">
      <c r="A13" t="inlineStr">
        <is>
          <t>Домэйн + Apple/Google (сард хуваасан), ₮</t>
        </is>
      </c>
      <c r="B13" s="2" t="n">
        <v>50000</v>
      </c>
      <c r="C13" t="inlineStr">
        <is>
          <t>COSTS.md</t>
        </is>
      </c>
    </row>
    <row r="14">
      <c r="A14" t="inlineStr">
        <is>
          <t>Нягтлан (гэрээт), ₮/сар</t>
        </is>
      </c>
      <c r="B14" s="2" t="n">
        <v>300000</v>
      </c>
      <c r="C14" t="inlineStr">
        <is>
          <t>✱</t>
        </is>
      </c>
    </row>
    <row r="15">
      <c r="A15" t="inlineStr">
        <is>
          <t>Маркетинг, ₮/сар</t>
        </is>
      </c>
      <c r="B15" s="2" t="n">
        <v>2050000</v>
      </c>
      <c r="C15" t="inlineStr">
        <is>
          <t>MARKETING_PLAN §5</t>
        </is>
      </c>
    </row>
    <row r="16">
      <c r="A16" t="inlineStr">
        <is>
          <t>Цалин (ажилтан, НДШ орсон), ₮/сар</t>
        </is>
      </c>
      <c r="B16" s="2" t="n">
        <v>0</v>
      </c>
      <c r="C16" t="inlineStr">
        <is>
          <t>Үүсгэн байгуулагч цалингүй гэж тооцов. Ажилтан авбал: цалин × 1.125–1.145</t>
        </is>
      </c>
    </row>
    <row r="17">
      <c r="A17" t="inlineStr">
        <is>
          <t>Сценарийн коэффициент (0.5 / 1.0 / 1.5)</t>
        </is>
      </c>
      <c r="B17" s="4" t="n">
        <v>1</v>
      </c>
      <c r="C17" t="inlineStr">
        <is>
          <t>Хэрэглэгчийн тоог үржүүлнэ</t>
        </is>
      </c>
    </row>
    <row r="19">
      <c r="A19" s="5" t="inlineStr">
        <is>
          <t>Pro ARPA (НӨАТ орсон), ₮</t>
        </is>
      </c>
      <c r="B19" s="6">
        <f>(1-Таамаглал!$B$4)*Таамаглал!$B$2+Таамаглал!$B$4*Таамаглал!$B$3/12</f>
        <v/>
      </c>
    </row>
    <row r="20">
      <c r="A20" s="5" t="inlineStr">
        <is>
          <t>Team суудлын ARPA, ₮</t>
        </is>
      </c>
      <c r="B20" s="6">
        <f>(1-Таамаглал!$B$7)*Таамаглал!$B$5+Таамаглал!$B$7*Таамаглал!$B$6/12</f>
        <v/>
      </c>
    </row>
    <row r="22">
      <c r="A22" t="inlineStr">
        <is>
          <t>Ханш: 1 USD = 3,595.56₮ (Монголбанк, 2026-09-25). ✱ = таамаг — бодит өгөгдлөөр сар бүр шинэчил.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Мөр / Сар</t>
        </is>
      </c>
      <c r="B1" s="1" t="inlineStr">
        <is>
          <t>1-р сар</t>
        </is>
      </c>
      <c r="C1" s="1" t="inlineStr">
        <is>
          <t>2-р сар</t>
        </is>
      </c>
      <c r="D1" s="1" t="inlineStr">
        <is>
          <t>3-р сар</t>
        </is>
      </c>
      <c r="E1" s="1" t="inlineStr">
        <is>
          <t>4-р сар</t>
        </is>
      </c>
      <c r="F1" s="1" t="inlineStr">
        <is>
          <t>5-р сар</t>
        </is>
      </c>
      <c r="G1" s="1" t="inlineStr">
        <is>
          <t>6-р сар</t>
        </is>
      </c>
      <c r="H1" s="1" t="inlineStr">
        <is>
          <t>7-р сар</t>
        </is>
      </c>
      <c r="I1" s="1" t="inlineStr">
        <is>
          <t>8-р сар</t>
        </is>
      </c>
      <c r="J1" s="1" t="inlineStr">
        <is>
          <t>9-р сар</t>
        </is>
      </c>
      <c r="K1" s="1" t="inlineStr">
        <is>
          <t>10-р сар</t>
        </is>
      </c>
      <c r="L1" s="1" t="inlineStr">
        <is>
          <t>11-р сар</t>
        </is>
      </c>
      <c r="M1" s="1" t="inlineStr">
        <is>
          <t>12-р сар</t>
        </is>
      </c>
      <c r="N1" s="1" t="inlineStr">
        <is>
          <t>12 сар нийт</t>
        </is>
      </c>
    </row>
    <row r="2">
      <c r="A2" t="inlineStr">
        <is>
          <t>Төлбөртэй Pro хэрэглэгч (төлөвлөгөө)</t>
        </is>
      </c>
      <c r="B2" s="2" t="n">
        <v>33</v>
      </c>
      <c r="C2" s="2" t="n">
        <v>67</v>
      </c>
      <c r="D2" s="2" t="n">
        <v>100</v>
      </c>
      <c r="E2" s="2" t="n">
        <v>183</v>
      </c>
      <c r="F2" s="2" t="n">
        <v>267</v>
      </c>
      <c r="G2" s="2" t="n">
        <v>350</v>
      </c>
      <c r="H2" s="2" t="n">
        <v>442</v>
      </c>
      <c r="I2" s="2" t="n">
        <v>533</v>
      </c>
      <c r="J2" s="2" t="n">
        <v>625</v>
      </c>
      <c r="K2" s="2" t="n">
        <v>717</v>
      </c>
      <c r="L2" s="2" t="n">
        <v>808</v>
      </c>
      <c r="M2" s="2" t="n">
        <v>900</v>
      </c>
    </row>
    <row r="3">
      <c r="A3" t="inlineStr">
        <is>
          <t>Team суудал (төлөвлөгөө)</t>
        </is>
      </c>
      <c r="B3" s="2" t="n">
        <v>20</v>
      </c>
      <c r="C3" s="2" t="n">
        <v>40</v>
      </c>
      <c r="D3" s="2" t="n">
        <v>60</v>
      </c>
      <c r="E3" s="2" t="n">
        <v>123</v>
      </c>
      <c r="F3" s="2" t="n">
        <v>187</v>
      </c>
      <c r="G3" s="2" t="n">
        <v>250</v>
      </c>
      <c r="H3" s="2" t="n">
        <v>342</v>
      </c>
      <c r="I3" s="2" t="n">
        <v>433</v>
      </c>
      <c r="J3" s="2" t="n">
        <v>525</v>
      </c>
      <c r="K3" s="2" t="n">
        <v>617</v>
      </c>
      <c r="L3" s="2" t="n">
        <v>708</v>
      </c>
      <c r="M3" s="2" t="n">
        <v>800</v>
      </c>
    </row>
    <row r="4">
      <c r="A4" t="inlineStr">
        <is>
          <t>Pro × сценари</t>
        </is>
      </c>
      <c r="B4" s="6">
        <f>B2*Таамаглал!$B$17</f>
        <v/>
      </c>
      <c r="C4" s="6">
        <f>C2*Таамаглал!$B$17</f>
        <v/>
      </c>
      <c r="D4" s="6">
        <f>D2*Таамаглал!$B$17</f>
        <v/>
      </c>
      <c r="E4" s="6">
        <f>E2*Таамаглал!$B$17</f>
        <v/>
      </c>
      <c r="F4" s="6">
        <f>F2*Таамаглал!$B$17</f>
        <v/>
      </c>
      <c r="G4" s="6">
        <f>G2*Таамаглал!$B$17</f>
        <v/>
      </c>
      <c r="H4" s="6">
        <f>H2*Таамаглал!$B$17</f>
        <v/>
      </c>
      <c r="I4" s="6">
        <f>I2*Таамаглал!$B$17</f>
        <v/>
      </c>
      <c r="J4" s="6">
        <f>J2*Таамаглал!$B$17</f>
        <v/>
      </c>
      <c r="K4" s="6">
        <f>K2*Таамаглал!$B$17</f>
        <v/>
      </c>
      <c r="L4" s="6">
        <f>L2*Таамаглал!$B$17</f>
        <v/>
      </c>
      <c r="M4" s="6">
        <f>M2*Таамаглал!$B$17</f>
        <v/>
      </c>
    </row>
    <row r="5">
      <c r="A5" t="inlineStr">
        <is>
          <t>Суудал × сценари</t>
        </is>
      </c>
      <c r="B5" s="6">
        <f>B3*Таамаглал!$B$17</f>
        <v/>
      </c>
      <c r="C5" s="6">
        <f>C3*Таамаглал!$B$17</f>
        <v/>
      </c>
      <c r="D5" s="6">
        <f>D3*Таамаглал!$B$17</f>
        <v/>
      </c>
      <c r="E5" s="6">
        <f>E3*Таамаглал!$B$17</f>
        <v/>
      </c>
      <c r="F5" s="6">
        <f>F3*Таамаглал!$B$17</f>
        <v/>
      </c>
      <c r="G5" s="6">
        <f>G3*Таамаглал!$B$17</f>
        <v/>
      </c>
      <c r="H5" s="6">
        <f>H3*Таамаглал!$B$17</f>
        <v/>
      </c>
      <c r="I5" s="6">
        <f>I3*Таамаглал!$B$17</f>
        <v/>
      </c>
      <c r="J5" s="6">
        <f>J3*Таамаглал!$B$17</f>
        <v/>
      </c>
      <c r="K5" s="6">
        <f>K3*Таамаглал!$B$17</f>
        <v/>
      </c>
      <c r="L5" s="6">
        <f>L3*Таамаглал!$B$17</f>
        <v/>
      </c>
      <c r="M5" s="6">
        <f>M3*Таамаглал!$B$17</f>
        <v/>
      </c>
    </row>
    <row r="6">
      <c r="A6" s="5" t="inlineStr">
        <is>
          <t>Нийт борлуулалт (НӨАТ орсон)</t>
        </is>
      </c>
      <c r="B6" s="7">
        <f>B4*Таамаглал!$B$19+B5*Таамаглал!$B$20</f>
        <v/>
      </c>
      <c r="C6" s="7">
        <f>C4*Таамаглал!$B$19+C5*Таамаглал!$B$20</f>
        <v/>
      </c>
      <c r="D6" s="7">
        <f>D4*Таамаглал!$B$19+D5*Таамаглал!$B$20</f>
        <v/>
      </c>
      <c r="E6" s="7">
        <f>E4*Таамаглал!$B$19+E5*Таамаглал!$B$20</f>
        <v/>
      </c>
      <c r="F6" s="7">
        <f>F4*Таамаглал!$B$19+F5*Таамаглал!$B$20</f>
        <v/>
      </c>
      <c r="G6" s="7">
        <f>G4*Таамаглал!$B$19+G5*Таамаглал!$B$20</f>
        <v/>
      </c>
      <c r="H6" s="7">
        <f>H4*Таамаглал!$B$19+H5*Таамаглал!$B$20</f>
        <v/>
      </c>
      <c r="I6" s="7">
        <f>I4*Таамаглал!$B$19+I5*Таамаглал!$B$20</f>
        <v/>
      </c>
      <c r="J6" s="7">
        <f>J4*Таамаглал!$B$19+J5*Таамаглал!$B$20</f>
        <v/>
      </c>
      <c r="K6" s="7">
        <f>K4*Таамаглал!$B$19+K5*Таамаглал!$B$20</f>
        <v/>
      </c>
      <c r="L6" s="7">
        <f>L4*Таамаглал!$B$19+L5*Таамаглал!$B$20</f>
        <v/>
      </c>
      <c r="M6" s="7">
        <f>M4*Таамаглал!$B$19+M5*Таамаглал!$B$20</f>
        <v/>
      </c>
      <c r="N6" s="7">
        <f>SUM(B6:M6)</f>
        <v/>
      </c>
    </row>
    <row r="7">
      <c r="A7" t="inlineStr">
        <is>
          <t>НӨАТ (төсөвт төлнө)</t>
        </is>
      </c>
      <c r="B7" s="6">
        <f>B6-B8</f>
        <v/>
      </c>
      <c r="C7" s="6">
        <f>C6-C8</f>
        <v/>
      </c>
      <c r="D7" s="6">
        <f>D6-D8</f>
        <v/>
      </c>
      <c r="E7" s="6">
        <f>E6-E8</f>
        <v/>
      </c>
      <c r="F7" s="6">
        <f>F6-F8</f>
        <v/>
      </c>
      <c r="G7" s="6">
        <f>G6-G8</f>
        <v/>
      </c>
      <c r="H7" s="6">
        <f>H6-H8</f>
        <v/>
      </c>
      <c r="I7" s="6">
        <f>I6-I8</f>
        <v/>
      </c>
      <c r="J7" s="6">
        <f>J6-J8</f>
        <v/>
      </c>
      <c r="K7" s="6">
        <f>K6-K8</f>
        <v/>
      </c>
      <c r="L7" s="6">
        <f>L6-L8</f>
        <v/>
      </c>
      <c r="M7" s="6">
        <f>M6-M8</f>
        <v/>
      </c>
      <c r="N7" s="6">
        <f>SUM(B7:M7)</f>
        <v/>
      </c>
    </row>
    <row r="8">
      <c r="A8" t="inlineStr">
        <is>
          <t>Цэвэр орлого</t>
        </is>
      </c>
      <c r="B8" s="6">
        <f>B6/(1+Таамаглал!$B$8)</f>
        <v/>
      </c>
      <c r="C8" s="6">
        <f>C6/(1+Таамаглал!$B$8)</f>
        <v/>
      </c>
      <c r="D8" s="6">
        <f>D6/(1+Таамаглал!$B$8)</f>
        <v/>
      </c>
      <c r="E8" s="6">
        <f>E6/(1+Таамаглал!$B$8)</f>
        <v/>
      </c>
      <c r="F8" s="6">
        <f>F6/(1+Таамаглал!$B$8)</f>
        <v/>
      </c>
      <c r="G8" s="6">
        <f>G6/(1+Таамаглал!$B$8)</f>
        <v/>
      </c>
      <c r="H8" s="6">
        <f>H6/(1+Таамаглал!$B$8)</f>
        <v/>
      </c>
      <c r="I8" s="6">
        <f>I6/(1+Таамаглал!$B$8)</f>
        <v/>
      </c>
      <c r="J8" s="6">
        <f>J6/(1+Таамаглал!$B$8)</f>
        <v/>
      </c>
      <c r="K8" s="6">
        <f>K6/(1+Таамаглал!$B$8)</f>
        <v/>
      </c>
      <c r="L8" s="6">
        <f>L6/(1+Таамаглал!$B$8)</f>
        <v/>
      </c>
      <c r="M8" s="6">
        <f>M6/(1+Таамаглал!$B$8)</f>
        <v/>
      </c>
      <c r="N8" s="6">
        <f>SUM(B8:M8)</f>
        <v/>
      </c>
    </row>
    <row r="9">
      <c r="A9" t="inlineStr">
        <is>
          <t>QPay шимтгэл</t>
        </is>
      </c>
      <c r="B9" s="6">
        <f>B6*Таамаглал!$B$9</f>
        <v/>
      </c>
      <c r="C9" s="6">
        <f>C6*Таамаглал!$B$9</f>
        <v/>
      </c>
      <c r="D9" s="6">
        <f>D6*Таамаглал!$B$9</f>
        <v/>
      </c>
      <c r="E9" s="6">
        <f>E6*Таамаглал!$B$9</f>
        <v/>
      </c>
      <c r="F9" s="6">
        <f>F6*Таамаглал!$B$9</f>
        <v/>
      </c>
      <c r="G9" s="6">
        <f>G6*Таамаглал!$B$9</f>
        <v/>
      </c>
      <c r="H9" s="6">
        <f>H6*Таамаглал!$B$9</f>
        <v/>
      </c>
      <c r="I9" s="6">
        <f>I6*Таамаглал!$B$9</f>
        <v/>
      </c>
      <c r="J9" s="6">
        <f>J6*Таамаглал!$B$9</f>
        <v/>
      </c>
      <c r="K9" s="6">
        <f>K6*Таамаглал!$B$9</f>
        <v/>
      </c>
      <c r="L9" s="6">
        <f>L6*Таамаглал!$B$9</f>
        <v/>
      </c>
      <c r="M9" s="6">
        <f>M6*Таамаглал!$B$9</f>
        <v/>
      </c>
      <c r="N9" s="6">
        <f>SUM(B9:M9)</f>
        <v/>
      </c>
    </row>
    <row r="10">
      <c r="A10" t="inlineStr">
        <is>
          <t>Хувьсах зардал (AI, имэйл)</t>
        </is>
      </c>
      <c r="B10" s="6">
        <f>B4*Таамаглал!$B$11+B5*Таамаглал!$B$12</f>
        <v/>
      </c>
      <c r="C10" s="6">
        <f>C4*Таамаглал!$B$11+C5*Таамаглал!$B$12</f>
        <v/>
      </c>
      <c r="D10" s="6">
        <f>D4*Таамаглал!$B$11+D5*Таамаглал!$B$12</f>
        <v/>
      </c>
      <c r="E10" s="6">
        <f>E4*Таамаглал!$B$11+E5*Таамаглал!$B$12</f>
        <v/>
      </c>
      <c r="F10" s="6">
        <f>F4*Таамаглал!$B$11+F5*Таамаглал!$B$12</f>
        <v/>
      </c>
      <c r="G10" s="6">
        <f>G4*Таамаглал!$B$11+G5*Таамаглал!$B$12</f>
        <v/>
      </c>
      <c r="H10" s="6">
        <f>H4*Таамаглал!$B$11+H5*Таамаглал!$B$12</f>
        <v/>
      </c>
      <c r="I10" s="6">
        <f>I4*Таамаглал!$B$11+I5*Таамаглал!$B$12</f>
        <v/>
      </c>
      <c r="J10" s="6">
        <f>J4*Таамаглал!$B$11+J5*Таамаглал!$B$12</f>
        <v/>
      </c>
      <c r="K10" s="6">
        <f>K4*Таамаглал!$B$11+K5*Таамаглал!$B$12</f>
        <v/>
      </c>
      <c r="L10" s="6">
        <f>L4*Таамаглал!$B$11+L5*Таамаглал!$B$12</f>
        <v/>
      </c>
      <c r="M10" s="6">
        <f>M4*Таамаглал!$B$11+M5*Таамаглал!$B$12</f>
        <v/>
      </c>
      <c r="N10" s="6">
        <f>SUM(B10:M10)</f>
        <v/>
      </c>
    </row>
    <row r="11">
      <c r="A11" t="inlineStr">
        <is>
          <t>Дэд бүтэц (Supabase, Netlify, Resend…)</t>
        </is>
      </c>
      <c r="B11" s="2" t="n">
        <v>200000</v>
      </c>
      <c r="C11" s="2" t="n">
        <v>200000</v>
      </c>
      <c r="D11" s="2" t="n">
        <v>200000</v>
      </c>
      <c r="E11" s="2" t="n">
        <v>400000</v>
      </c>
      <c r="F11" s="2" t="n">
        <v>400000</v>
      </c>
      <c r="G11" s="2" t="n">
        <v>400000</v>
      </c>
      <c r="H11" s="2" t="n">
        <v>400000</v>
      </c>
      <c r="I11" s="2" t="n">
        <v>400000</v>
      </c>
      <c r="J11" s="2" t="n">
        <v>600000</v>
      </c>
      <c r="K11" s="2" t="n">
        <v>600000</v>
      </c>
      <c r="L11" s="2" t="n">
        <v>600000</v>
      </c>
      <c r="M11" s="2" t="n">
        <v>600000</v>
      </c>
      <c r="N11" s="6">
        <f>SUM(B11:M11)</f>
        <v/>
      </c>
    </row>
    <row r="12">
      <c r="A12" s="5" t="inlineStr">
        <is>
          <t>Нийт ашиг (gross profit)</t>
        </is>
      </c>
      <c r="B12" s="7">
        <f>B8-B9-B10-B11</f>
        <v/>
      </c>
      <c r="C12" s="7">
        <f>C8-C9-C10-C11</f>
        <v/>
      </c>
      <c r="D12" s="7">
        <f>D8-D9-D10-D11</f>
        <v/>
      </c>
      <c r="E12" s="7">
        <f>E8-E9-E10-E11</f>
        <v/>
      </c>
      <c r="F12" s="7">
        <f>F8-F9-F10-F11</f>
        <v/>
      </c>
      <c r="G12" s="7">
        <f>G8-G9-G10-G11</f>
        <v/>
      </c>
      <c r="H12" s="7">
        <f>H8-H9-H10-H11</f>
        <v/>
      </c>
      <c r="I12" s="7">
        <f>I8-I9-I10-I11</f>
        <v/>
      </c>
      <c r="J12" s="7">
        <f>J8-J9-J10-J11</f>
        <v/>
      </c>
      <c r="K12" s="7">
        <f>K8-K9-K10-K11</f>
        <v/>
      </c>
      <c r="L12" s="7">
        <f>L8-L9-L10-L11</f>
        <v/>
      </c>
      <c r="M12" s="7">
        <f>M8-M9-M10-M11</f>
        <v/>
      </c>
      <c r="N12" s="7">
        <f>SUM(B12:M12)</f>
        <v/>
      </c>
    </row>
    <row r="13">
      <c r="A13" t="inlineStr">
        <is>
          <t>Gross margin %</t>
        </is>
      </c>
      <c r="B13" s="8">
        <f>IF(B8=0,0,B12/B8)</f>
        <v/>
      </c>
      <c r="C13" s="8">
        <f>IF(C8=0,0,C12/C8)</f>
        <v/>
      </c>
      <c r="D13" s="8">
        <f>IF(D8=0,0,D12/D8)</f>
        <v/>
      </c>
      <c r="E13" s="8">
        <f>IF(E8=0,0,E12/E8)</f>
        <v/>
      </c>
      <c r="F13" s="8">
        <f>IF(F8=0,0,F12/F8)</f>
        <v/>
      </c>
      <c r="G13" s="8">
        <f>IF(G8=0,0,G12/G8)</f>
        <v/>
      </c>
      <c r="H13" s="8">
        <f>IF(H8=0,0,H12/H8)</f>
        <v/>
      </c>
      <c r="I13" s="8">
        <f>IF(I8=0,0,I12/I8)</f>
        <v/>
      </c>
      <c r="J13" s="8">
        <f>IF(J8=0,0,J12/J8)</f>
        <v/>
      </c>
      <c r="K13" s="8">
        <f>IF(K8=0,0,K12/K8)</f>
        <v/>
      </c>
      <c r="L13" s="8">
        <f>IF(L8=0,0,L12/L8)</f>
        <v/>
      </c>
      <c r="M13" s="8">
        <f>IF(M8=0,0,M12/M8)</f>
        <v/>
      </c>
    </row>
    <row r="14">
      <c r="A14" t="inlineStr">
        <is>
          <t>Домэйн + store</t>
        </is>
      </c>
      <c r="B14" s="6">
        <f>Таамаглал!$B$13</f>
        <v/>
      </c>
      <c r="C14" s="6">
        <f>Таамаглал!$B$13</f>
        <v/>
      </c>
      <c r="D14" s="6">
        <f>Таамаглал!$B$13</f>
        <v/>
      </c>
      <c r="E14" s="6">
        <f>Таамаглал!$B$13</f>
        <v/>
      </c>
      <c r="F14" s="6">
        <f>Таамаглал!$B$13</f>
        <v/>
      </c>
      <c r="G14" s="6">
        <f>Таамаглал!$B$13</f>
        <v/>
      </c>
      <c r="H14" s="6">
        <f>Таамаглал!$B$13</f>
        <v/>
      </c>
      <c r="I14" s="6">
        <f>Таамаглал!$B$13</f>
        <v/>
      </c>
      <c r="J14" s="6">
        <f>Таамаглал!$B$13</f>
        <v/>
      </c>
      <c r="K14" s="6">
        <f>Таамаглал!$B$13</f>
        <v/>
      </c>
      <c r="L14" s="6">
        <f>Таамаглал!$B$13</f>
        <v/>
      </c>
      <c r="M14" s="6">
        <f>Таамаглал!$B$13</f>
        <v/>
      </c>
      <c r="N14" s="6">
        <f>SUM(B14:M14)</f>
        <v/>
      </c>
    </row>
    <row r="15">
      <c r="A15" t="inlineStr">
        <is>
          <t>Нягтлан</t>
        </is>
      </c>
      <c r="B15" s="6">
        <f>Таамаглал!$B$14</f>
        <v/>
      </c>
      <c r="C15" s="6">
        <f>Таамаглал!$B$14</f>
        <v/>
      </c>
      <c r="D15" s="6">
        <f>Таамаглал!$B$14</f>
        <v/>
      </c>
      <c r="E15" s="6">
        <f>Таамаглал!$B$14</f>
        <v/>
      </c>
      <c r="F15" s="6">
        <f>Таамаглал!$B$14</f>
        <v/>
      </c>
      <c r="G15" s="6">
        <f>Таамаглал!$B$14</f>
        <v/>
      </c>
      <c r="H15" s="6">
        <f>Таамаглал!$B$14</f>
        <v/>
      </c>
      <c r="I15" s="6">
        <f>Таамаглал!$B$14</f>
        <v/>
      </c>
      <c r="J15" s="6">
        <f>Таамаглал!$B$14</f>
        <v/>
      </c>
      <c r="K15" s="6">
        <f>Таамаглал!$B$14</f>
        <v/>
      </c>
      <c r="L15" s="6">
        <f>Таамаглал!$B$14</f>
        <v/>
      </c>
      <c r="M15" s="6">
        <f>Таамаглал!$B$14</f>
        <v/>
      </c>
      <c r="N15" s="6">
        <f>SUM(B15:M15)</f>
        <v/>
      </c>
    </row>
    <row r="16">
      <c r="A16" t="inlineStr">
        <is>
          <t>Маркетинг</t>
        </is>
      </c>
      <c r="B16" s="6">
        <f>Таамаглал!$B$15</f>
        <v/>
      </c>
      <c r="C16" s="6">
        <f>Таамаглал!$B$15</f>
        <v/>
      </c>
      <c r="D16" s="6">
        <f>Таамаглал!$B$15</f>
        <v/>
      </c>
      <c r="E16" s="6">
        <f>Таамаглал!$B$15</f>
        <v/>
      </c>
      <c r="F16" s="6">
        <f>Таамаглал!$B$15</f>
        <v/>
      </c>
      <c r="G16" s="6">
        <f>Таамаглал!$B$15</f>
        <v/>
      </c>
      <c r="H16" s="6">
        <f>Таамаглал!$B$15</f>
        <v/>
      </c>
      <c r="I16" s="6">
        <f>Таамаглал!$B$15</f>
        <v/>
      </c>
      <c r="J16" s="6">
        <f>Таамаглал!$B$15</f>
        <v/>
      </c>
      <c r="K16" s="6">
        <f>Таамаглал!$B$15</f>
        <v/>
      </c>
      <c r="L16" s="6">
        <f>Таамаглал!$B$15</f>
        <v/>
      </c>
      <c r="M16" s="6">
        <f>Таамаглал!$B$15</f>
        <v/>
      </c>
      <c r="N16" s="6">
        <f>SUM(B16:M16)</f>
        <v/>
      </c>
    </row>
    <row r="17">
      <c r="A17" t="inlineStr">
        <is>
          <t>Цалин</t>
        </is>
      </c>
      <c r="B17" s="6">
        <f>Таамаглал!$B$16</f>
        <v/>
      </c>
      <c r="C17" s="6">
        <f>Таамаглал!$B$16</f>
        <v/>
      </c>
      <c r="D17" s="6">
        <f>Таамаглал!$B$16</f>
        <v/>
      </c>
      <c r="E17" s="6">
        <f>Таамаглал!$B$16</f>
        <v/>
      </c>
      <c r="F17" s="6">
        <f>Таамаглал!$B$16</f>
        <v/>
      </c>
      <c r="G17" s="6">
        <f>Таамаглал!$B$16</f>
        <v/>
      </c>
      <c r="H17" s="6">
        <f>Таамаглал!$B$16</f>
        <v/>
      </c>
      <c r="I17" s="6">
        <f>Таамаглал!$B$16</f>
        <v/>
      </c>
      <c r="J17" s="6">
        <f>Таамаглал!$B$16</f>
        <v/>
      </c>
      <c r="K17" s="6">
        <f>Таамаглал!$B$16</f>
        <v/>
      </c>
      <c r="L17" s="6">
        <f>Таамаглал!$B$16</f>
        <v/>
      </c>
      <c r="M17" s="6">
        <f>Таамаглал!$B$16</f>
        <v/>
      </c>
      <c r="N17" s="6">
        <f>SUM(B17:M17)</f>
        <v/>
      </c>
    </row>
    <row r="18">
      <c r="A18" t="inlineStr">
        <is>
          <t>Үйл ажиллагааны зардал</t>
        </is>
      </c>
      <c r="B18" s="6">
        <f>B14+B15+B16+B17</f>
        <v/>
      </c>
      <c r="C18" s="6">
        <f>C14+C15+C16+C17</f>
        <v/>
      </c>
      <c r="D18" s="6">
        <f>D14+D15+D16+D17</f>
        <v/>
      </c>
      <c r="E18" s="6">
        <f>E14+E15+E16+E17</f>
        <v/>
      </c>
      <c r="F18" s="6">
        <f>F14+F15+F16+F17</f>
        <v/>
      </c>
      <c r="G18" s="6">
        <f>G14+G15+G16+G17</f>
        <v/>
      </c>
      <c r="H18" s="6">
        <f>H14+H15+H16+H17</f>
        <v/>
      </c>
      <c r="I18" s="6">
        <f>I14+I15+I16+I17</f>
        <v/>
      </c>
      <c r="J18" s="6">
        <f>J14+J15+J16+J17</f>
        <v/>
      </c>
      <c r="K18" s="6">
        <f>K14+K15+K16+K17</f>
        <v/>
      </c>
      <c r="L18" s="6">
        <f>L14+L15+L16+L17</f>
        <v/>
      </c>
      <c r="M18" s="6">
        <f>M14+M15+M16+M17</f>
        <v/>
      </c>
      <c r="N18" s="6">
        <f>SUM(B18:M18)</f>
        <v/>
      </c>
    </row>
    <row r="19">
      <c r="A19" t="inlineStr">
        <is>
          <t>Татварын өмнөх ашиг</t>
        </is>
      </c>
      <c r="B19" s="6">
        <f>B12-B18</f>
        <v/>
      </c>
      <c r="C19" s="6">
        <f>C12-C18</f>
        <v/>
      </c>
      <c r="D19" s="6">
        <f>D12-D18</f>
        <v/>
      </c>
      <c r="E19" s="6">
        <f>E12-E18</f>
        <v/>
      </c>
      <c r="F19" s="6">
        <f>F12-F18</f>
        <v/>
      </c>
      <c r="G19" s="6">
        <f>G12-G18</f>
        <v/>
      </c>
      <c r="H19" s="6">
        <f>H12-H18</f>
        <v/>
      </c>
      <c r="I19" s="6">
        <f>I12-I18</f>
        <v/>
      </c>
      <c r="J19" s="6">
        <f>J12-J18</f>
        <v/>
      </c>
      <c r="K19" s="6">
        <f>K12-K18</f>
        <v/>
      </c>
      <c r="L19" s="6">
        <f>L12-L18</f>
        <v/>
      </c>
      <c r="M19" s="6">
        <f>M12-M18</f>
        <v/>
      </c>
      <c r="N19" s="6">
        <f>SUM(B19:M19)</f>
        <v/>
      </c>
    </row>
    <row r="20">
      <c r="A20" t="inlineStr">
        <is>
          <t>ААНОАТ</t>
        </is>
      </c>
      <c r="B20" s="6">
        <f>B8*Таамаглал!$B$10</f>
        <v/>
      </c>
      <c r="C20" s="6">
        <f>C8*Таамаглал!$B$10</f>
        <v/>
      </c>
      <c r="D20" s="6">
        <f>D8*Таамаглал!$B$10</f>
        <v/>
      </c>
      <c r="E20" s="6">
        <f>E8*Таамаглал!$B$10</f>
        <v/>
      </c>
      <c r="F20" s="6">
        <f>F8*Таамаглал!$B$10</f>
        <v/>
      </c>
      <c r="G20" s="6">
        <f>G8*Таамаглал!$B$10</f>
        <v/>
      </c>
      <c r="H20" s="6">
        <f>H8*Таамаглал!$B$10</f>
        <v/>
      </c>
      <c r="I20" s="6">
        <f>I8*Таамаглал!$B$10</f>
        <v/>
      </c>
      <c r="J20" s="6">
        <f>J8*Таамаглал!$B$10</f>
        <v/>
      </c>
      <c r="K20" s="6">
        <f>K8*Таамаглал!$B$10</f>
        <v/>
      </c>
      <c r="L20" s="6">
        <f>L8*Таамаглал!$B$10</f>
        <v/>
      </c>
      <c r="M20" s="6">
        <f>M8*Таамаглал!$B$10</f>
        <v/>
      </c>
      <c r="N20" s="6">
        <f>SUM(B20:M20)</f>
        <v/>
      </c>
    </row>
    <row r="21">
      <c r="A21" s="5" t="inlineStr">
        <is>
          <t>ЦЭВЭР АШИГ</t>
        </is>
      </c>
      <c r="B21" s="7">
        <f>B19-B20</f>
        <v/>
      </c>
      <c r="C21" s="7">
        <f>C19-C20</f>
        <v/>
      </c>
      <c r="D21" s="7">
        <f>D19-D20</f>
        <v/>
      </c>
      <c r="E21" s="7">
        <f>E19-E20</f>
        <v/>
      </c>
      <c r="F21" s="7">
        <f>F19-F20</f>
        <v/>
      </c>
      <c r="G21" s="7">
        <f>G19-G20</f>
        <v/>
      </c>
      <c r="H21" s="7">
        <f>H19-H20</f>
        <v/>
      </c>
      <c r="I21" s="7">
        <f>I19-I20</f>
        <v/>
      </c>
      <c r="J21" s="7">
        <f>J19-J20</f>
        <v/>
      </c>
      <c r="K21" s="7">
        <f>K19-K20</f>
        <v/>
      </c>
      <c r="L21" s="7">
        <f>L19-L20</f>
        <v/>
      </c>
      <c r="M21" s="7">
        <f>M19-M20</f>
        <v/>
      </c>
      <c r="N21" s="7">
        <f>SUM(B21:M21)</f>
        <v/>
      </c>
    </row>
    <row r="22">
      <c r="A22" s="5" t="inlineStr">
        <is>
          <t>Хуримтлагдсан ашиг (мөнгөний хэрэгцээ)</t>
        </is>
      </c>
      <c r="B22" s="7">
        <f>B21</f>
        <v/>
      </c>
      <c r="C22" s="7">
        <f>B22+C21</f>
        <v/>
      </c>
      <c r="D22" s="7">
        <f>C22+D21</f>
        <v/>
      </c>
      <c r="E22" s="7">
        <f>D22+E21</f>
        <v/>
      </c>
      <c r="F22" s="7">
        <f>E22+F21</f>
        <v/>
      </c>
      <c r="G22" s="7">
        <f>F22+G21</f>
        <v/>
      </c>
      <c r="H22" s="7">
        <f>G22+H21</f>
        <v/>
      </c>
      <c r="I22" s="7">
        <f>H22+I21</f>
        <v/>
      </c>
      <c r="J22" s="7">
        <f>I22+J21</f>
        <v/>
      </c>
      <c r="K22" s="7">
        <f>J22+K21</f>
        <v/>
      </c>
      <c r="L22" s="7">
        <f>K22+L21</f>
        <v/>
      </c>
      <c r="M22" s="7">
        <f>L22+M21</f>
        <v/>
      </c>
      <c r="N22" s="7">
        <f>MIN(B22:M22)</f>
        <v/>
      </c>
      <c r="O22" s="5" t="inlineStr">
        <is>
          <t>← хамгийн бага = шаардлагатай мөнгө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2" customWidth="1" min="3" max="3"/>
    <col width="22" customWidth="1" min="4" max="4"/>
    <col width="40" customWidth="1" min="5" max="5"/>
    <col width="20" customWidth="1" min="6" max="6"/>
  </cols>
  <sheetData>
    <row r="1">
      <c r="A1" s="1" t="inlineStr">
        <is>
          <t>Сценари</t>
        </is>
      </c>
      <c r="B1" s="1" t="inlineStr">
        <is>
          <t>Коэф.</t>
        </is>
      </c>
      <c r="C1" s="1" t="inlineStr">
        <is>
          <t>12 сарын борлуулалт (НӨАТ орсон)</t>
        </is>
      </c>
      <c r="D1" s="1" t="inlineStr">
        <is>
          <t>12 сарын цэвэр ашиг</t>
        </is>
      </c>
      <c r="E1" s="1" t="inlineStr">
        <is>
          <t>Мөнгөний хэрэгцээ (хамгийн бага хуримтлал)</t>
        </is>
      </c>
      <c r="F1" s="1" t="inlineStr">
        <is>
          <t>Анхны ашигтай сар</t>
        </is>
      </c>
    </row>
    <row r="2">
      <c r="A2" t="inlineStr">
        <is>
          <t>Болгоомжтой</t>
        </is>
      </c>
      <c r="B2" t="n">
        <v>0.5</v>
      </c>
      <c r="C2" s="6" t="n">
        <v>29772396</v>
      </c>
      <c r="D2" s="6" t="n">
        <v>-9174568</v>
      </c>
      <c r="E2" s="6" t="n">
        <v>-12408924</v>
      </c>
      <c r="F2" t="n">
        <v>9</v>
      </c>
    </row>
    <row r="3">
      <c r="A3" t="inlineStr">
        <is>
          <t>Суурь</t>
        </is>
      </c>
      <c r="B3" t="n">
        <v>1</v>
      </c>
      <c r="C3" s="6" t="n">
        <v>59544792</v>
      </c>
      <c r="D3" s="6" t="n">
        <v>15450865</v>
      </c>
      <c r="E3" s="6" t="n">
        <v>-7395938</v>
      </c>
      <c r="F3" t="n">
        <v>6</v>
      </c>
    </row>
    <row r="4">
      <c r="A4" t="inlineStr">
        <is>
          <t>Өөдрөг</t>
        </is>
      </c>
      <c r="B4" t="n">
        <v>1.5</v>
      </c>
      <c r="C4" s="6" t="n">
        <v>89317188</v>
      </c>
      <c r="D4" s="6" t="n">
        <v>40076297</v>
      </c>
      <c r="E4" s="6" t="n">
        <v>-5349806</v>
      </c>
      <c r="F4" t="n">
        <v>5</v>
      </c>
    </row>
    <row r="6">
      <c r="A6" t="inlineStr">
        <is>
          <t>Энэ хуудас нь скриптээр тооцсон тогтмол утга. Өөр утга авах бол «Таамаглал»-ын коэффициентыг өөрчилж «12 сар (P&amp;L)»-г хар.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2026-10-07T17:16:48Z</dcterms:created>
  <dcterms:modified xsi:type="dcterms:W3CDTF">2026-10-07T17:16:48Z</dcterms:modified>
</cp:coreProperties>
</file>